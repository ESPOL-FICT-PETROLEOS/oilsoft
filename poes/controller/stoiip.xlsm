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us\PycharmProjects\oilsoft\poes\controller\"/>
    </mc:Choice>
  </mc:AlternateContent>
  <xr:revisionPtr revIDLastSave="0" documentId="13_ncr:1_{204C4CA2-34AC-4647-A294-D68FDC7FBB38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t_poes" localSheetId="0">Summary!$B$10</definedName>
    <definedName name="det_values" localSheetId="0">Summary!$B$3:$B$7</definedName>
    <definedName name="df_poes" localSheetId="0">Summary!$A$2:$H$7</definedName>
    <definedName name="poes_array" localSheetId="1">Results!$A$1</definedName>
    <definedName name="prob_poes" localSheetId="0">Summary!$H$10</definedName>
    <definedName name="realizations" localSheetId="0">Summary!$E$10</definedName>
    <definedName name="seed" localSheetId="0">Summary!$E$11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<sst xmlns="http://schemas.openxmlformats.org/spreadsheetml/2006/main" count="53" uniqueCount="43">
  <si>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</si>
  <si>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</si>
  <si>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</si>
  <si>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</si>
  <si>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</si>
  <si>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</si>
  <si>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</si>
  <si>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</si>
  <si>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</si>
  <si>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</si>
  <si>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</si>
  <si>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</si>
  <si>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</si>
  <si>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</si>
  <si>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</si>
  <si>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Variables</t>
  </si>
  <si>
    <t>Values</t>
  </si>
  <si>
    <t>Distribution</t>
  </si>
  <si>
    <t>Loc</t>
  </si>
  <si>
    <t>Scale</t>
  </si>
  <si>
    <t>c</t>
  </si>
  <si>
    <t>Lim min</t>
  </si>
  <si>
    <t>Lim max</t>
  </si>
  <si>
    <t>Area (Acres)</t>
  </si>
  <si>
    <t>h (ft)</t>
  </si>
  <si>
    <t>Poro</t>
  </si>
  <si>
    <t>Swi</t>
  </si>
  <si>
    <t>Bo (rb/stb)</t>
  </si>
  <si>
    <t>Deterministic STOIIP</t>
  </si>
  <si>
    <t>STB</t>
  </si>
  <si>
    <t>Realizations</t>
  </si>
  <si>
    <t>Seed</t>
  </si>
  <si>
    <t>STOIIP Mean</t>
  </si>
  <si>
    <t>STOIIP Std</t>
  </si>
  <si>
    <t>STOIIP P90</t>
  </si>
  <si>
    <t>STOIIP P50</t>
  </si>
  <si>
    <t>STOIIP P10</t>
  </si>
  <si>
    <t>STOIIP CALCULATION</t>
  </si>
  <si>
    <t>Normal</t>
  </si>
  <si>
    <t>Lognormal</t>
  </si>
  <si>
    <t>Exponential</t>
  </si>
  <si>
    <t>Triangular</t>
  </si>
  <si>
    <t>Uniform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</si>
</sst>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6CA5FCFB-439D-4DED-92A2-C02687C6B71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4"/>
  <sheetViews>
    <sheetView showGridLines="0" tabSelected="1" zoomScale="90" zoomScaleNormal="90" workbookViewId="0">
      <selection activeCell="J19" sqref="J19"/>
    </sheetView>
  </sheetViews>
  <sheetFormatPr defaultColWidth="11" defaultRowHeight="15.6" x14ac:dyDescent="0.3"/>
  <cols>
    <col min="1" max="1" width="13.796875" customWidth="1"/>
    <col min="7" max="7" width="11.59765625" bestFit="1" customWidth="1"/>
    <col min="13" max="13" width="0" hidden="1" customWidth="1"/>
  </cols>
  <sheetData>
    <row r="1" spans="1:13" ht="16.2" thickBot="1" x14ac:dyDescent="0.35">
      <c r="A1" s="6" t="s">
        <v>37</v>
      </c>
      <c r="B1" s="6"/>
      <c r="C1" s="6"/>
      <c r="D1" s="6"/>
      <c r="E1" s="6"/>
      <c r="F1" s="6"/>
      <c r="G1" s="6"/>
      <c r="H1" s="6"/>
    </row>
    <row r="2" spans="1:13" ht="16.2" thickBot="1" x14ac:dyDescent="0.35">
      <c r="A2" s="5" t="s">
        <v>15</v>
      </c>
      <c r="B2" s="5" t="s">
        <v>16</v>
      </c>
      <c r="C2" s="5" t="s">
        <v>17</v>
      </c>
      <c r="D2" s="5" t="s">
        <v>18</v>
      </c>
      <c r="E2" s="5" t="s">
        <v>19</v>
      </c>
      <c r="F2" s="5" t="s">
        <v>20</v>
      </c>
      <c r="G2" s="5" t="s">
        <v>21</v>
      </c>
      <c r="H2" s="5" t="s">
        <v>22</v>
      </c>
    </row>
    <row r="3" spans="1:13" ht="16.2" thickBot="1" x14ac:dyDescent="0.35">
      <c r="A3" s="4" t="s">
        <v>23</v>
      </c>
      <c r="B3" s="4">
        <v>240</v>
      </c>
      <c r="C3" s="4" t="s">
        <v>39</v>
      </c>
      <c r="D3" s="4">
        <v>400</v>
      </c>
      <c r="E3" s="4">
        <v>600</v>
      </c>
      <c r="F3" s="4">
        <v>0.3</v>
      </c>
      <c r="G3" s="4">
        <v>50</v>
      </c>
      <c r="H3" s="4"/>
      <c r="M3" t="s">
        <v>38</v>
      </c>
    </row>
    <row r="4" spans="1:13" ht="16.2" thickBot="1" x14ac:dyDescent="0.35">
      <c r="A4" s="4" t="s">
        <v>24</v>
      </c>
      <c r="B4" s="4">
        <v>15</v>
      </c>
      <c r="C4" s="4" t="s">
        <v>38</v>
      </c>
      <c r="D4" s="4">
        <v>0</v>
      </c>
      <c r="E4" s="4">
        <v>90</v>
      </c>
      <c r="F4" s="4">
        <v>0.3</v>
      </c>
      <c r="G4" s="4">
        <v>0</v>
      </c>
      <c r="H4" s="4">
        <v>180</v>
      </c>
      <c r="M4" t="s">
        <v>39</v>
      </c>
    </row>
    <row r="5" spans="1:13" ht="16.2" thickBot="1" x14ac:dyDescent="0.35">
      <c r="A5" s="4" t="s">
        <v>25</v>
      </c>
      <c r="B5" s="4">
        <v>0.4</v>
      </c>
      <c r="C5" s="4" t="s">
        <v>40</v>
      </c>
      <c r="D5" s="4">
        <v>0</v>
      </c>
      <c r="E5" s="4">
        <v>0.2</v>
      </c>
      <c r="F5" s="4">
        <v>0.8</v>
      </c>
      <c r="G5" s="4">
        <v>0</v>
      </c>
      <c r="H5" s="4">
        <v>0.4</v>
      </c>
      <c r="M5" t="s">
        <v>40</v>
      </c>
    </row>
    <row r="6" spans="1:13" ht="16.2" thickBot="1" x14ac:dyDescent="0.35">
      <c r="A6" s="4" t="s">
        <v>26</v>
      </c>
      <c r="B6" s="4">
        <v>0.65</v>
      </c>
      <c r="C6" s="4" t="s">
        <v>41</v>
      </c>
      <c r="D6" s="4">
        <v>0.4</v>
      </c>
      <c r="E6" s="4">
        <v>0.2</v>
      </c>
      <c r="F6" s="4"/>
      <c r="G6" s="4">
        <v>0</v>
      </c>
      <c r="H6" s="4">
        <v>1</v>
      </c>
      <c r="M6" t="s">
        <v>41</v>
      </c>
    </row>
    <row r="7" spans="1:13" ht="16.2" thickBot="1" x14ac:dyDescent="0.35">
      <c r="A7" s="4" t="s">
        <v>27</v>
      </c>
      <c r="B7" s="4">
        <v>1.3</v>
      </c>
      <c r="C7" s="4" t="s">
        <v>42</v>
      </c>
      <c r="D7" s="4">
        <v>1</v>
      </c>
      <c r="E7" s="4">
        <v>0.2</v>
      </c>
      <c r="F7" s="4"/>
      <c r="G7" s="4">
        <v>1</v>
      </c>
      <c r="H7" s="4">
        <v>2</v>
      </c>
      <c r="M7" t="s">
        <v>42</v>
      </c>
    </row>
    <row r="9" spans="1:13" ht="16.2" thickBot="1" x14ac:dyDescent="0.35"/>
    <row r="10" spans="1:13" ht="31.8" thickBot="1" x14ac:dyDescent="0.35">
      <c r="A10" s="9" t="s">
        <v>28</v>
      </c>
      <c r="B10" s="4"/>
      <c r="C10" s="11" t="s">
        <v>29</v>
      </c>
      <c r="D10" s="10" t="s">
        <v>30</v>
      </c>
      <c r="E10" s="8"/>
      <c r="F10" s="3"/>
      <c r="G10" s="10" t="s">
        <v>32</v>
      </c>
      <c r="H10" s="7"/>
      <c r="I10" s="11" t="s">
        <v>29</v>
      </c>
    </row>
    <row r="11" spans="1:13" ht="16.2" thickBot="1" x14ac:dyDescent="0.35">
      <c r="A11" s="3"/>
      <c r="B11" s="3"/>
      <c r="C11" s="3"/>
      <c r="D11" s="10" t="s">
        <v>31</v>
      </c>
      <c r="E11" s="8"/>
      <c r="F11" s="3"/>
      <c r="G11" s="10" t="s">
        <v>33</v>
      </c>
      <c r="H11" s="7"/>
      <c r="I11" s="11" t="s">
        <v>29</v>
      </c>
    </row>
    <row r="12" spans="1:13" ht="16.2" thickBot="1" x14ac:dyDescent="0.35">
      <c r="A12" s="3"/>
      <c r="B12" s="3"/>
      <c r="C12" s="3"/>
      <c r="D12" s="3"/>
      <c r="E12" s="3"/>
      <c r="F12" s="3"/>
      <c r="G12" s="10" t="s">
        <v>34</v>
      </c>
      <c r="H12" s="7"/>
      <c r="I12" s="11" t="s">
        <v>29</v>
      </c>
    </row>
    <row r="13" spans="1:13" ht="16.2" thickBot="1" x14ac:dyDescent="0.35">
      <c r="A13" s="3"/>
      <c r="B13" s="3"/>
      <c r="C13" s="3"/>
      <c r="D13" s="3"/>
      <c r="E13" s="3"/>
      <c r="F13" s="3"/>
      <c r="G13" s="10" t="s">
        <v>35</v>
      </c>
      <c r="H13" s="7"/>
      <c r="I13" s="11" t="s">
        <v>29</v>
      </c>
    </row>
    <row r="14" spans="1:13" ht="16.2" thickBot="1" x14ac:dyDescent="0.35">
      <c r="A14" s="3"/>
      <c r="B14" s="3"/>
      <c r="C14" s="3"/>
      <c r="D14" s="3"/>
      <c r="E14" s="3"/>
      <c r="F14" s="3"/>
      <c r="G14" s="10" t="s">
        <v>36</v>
      </c>
      <c r="H14" s="7"/>
      <c r="I14" s="11" t="s">
        <v>29</v>
      </c>
    </row>
  </sheetData>
  <mergeCells count="1">
    <mergeCell ref="A1:H1"/>
  </mergeCells>
  <dataValidations count="1">
    <dataValidation type="list" allowBlank="1" showInputMessage="1" showErrorMessage="1" sqref="C3:C7" xr:uid="{C1C79CEE-4C3A-4CB3-B61D-F2FFC027AB56}">
      <formula1>$M$3:$M$7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F891B-58F8-429D-9A5D-11EA100F9A1D}">
  <dimension ref="A1"/>
  <sheetViews>
    <sheetView workbookViewId="0">
      <selection activeCell="E25" sqref="E25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Summary!det_poes</vt:lpstr>
      <vt:lpstr>Summary!det_values</vt:lpstr>
      <vt:lpstr>Summary!df_poes</vt:lpstr>
      <vt:lpstr>Results!poes_array</vt:lpstr>
      <vt:lpstr>Summary!prob_poes</vt:lpstr>
      <vt:lpstr>Summary!realizations</vt:lpstr>
      <vt:lpstr>Summary!seed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Paul Carrion Maldonado</cp:lastModifiedBy>
  <dcterms:created xsi:type="dcterms:W3CDTF">2015-01-25T11:31:25Z</dcterms:created>
  <dcterms:modified xsi:type="dcterms:W3CDTF">2025-11-05T19:56:15Z</dcterms:modified>
</cp:coreProperties>
</file>